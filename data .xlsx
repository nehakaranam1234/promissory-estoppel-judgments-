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3719585-5CB8-49D3-9D5B-7A08534320F8}" xr6:coauthVersionLast="47" xr6:coauthVersionMax="47" xr10:uidLastSave="{00000000-0000-0000-0000-000000000000}"/>
  <bookViews>
    <workbookView xWindow="368" yWindow="368" windowWidth="16199" windowHeight="9360" activeTab="1" xr2:uid="{00000000-000D-0000-FFFF-FFFF00000000}"/>
  </bookViews>
  <sheets>
    <sheet name="Read Me" sheetId="1" r:id="rId1"/>
    <sheet name="Team" sheetId="2" r:id="rId2"/>
    <sheet name="Data" sheetId="3" r:id="rId3"/>
    <sheet name="Chart counts" sheetId="4" r:id="rId4"/>
    <sheet name="Vocabulari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4" l="1"/>
  <c r="B36" i="4"/>
  <c r="B35" i="4"/>
  <c r="B34" i="4"/>
  <c r="B33" i="4"/>
  <c r="B30" i="4"/>
  <c r="B29" i="4"/>
  <c r="B28" i="4"/>
  <c r="B27" i="4"/>
  <c r="B26" i="4"/>
  <c r="B23" i="4"/>
  <c r="B22" i="4"/>
  <c r="B21" i="4"/>
  <c r="B20" i="4"/>
  <c r="B19" i="4"/>
  <c r="B16" i="4"/>
  <c r="B15" i="4"/>
  <c r="B14" i="4"/>
  <c r="B13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<sst xmlns="http://schemas.openxmlformats.org/spreadsheetml/2006/main" count="346" uniqueCount="216">
  <si>
    <t>Judgment Content Analysis · Dataset template</t>
  </si>
  <si>
    <t>How to use this file</t>
  </si>
  <si>
    <t>1. Fill the Team sheet.</t>
  </si>
  <si>
    <t>3. Pale yellow cells are yours to fill. Dropdown columns accept only the listed values (see the Vocabularies sheet). Do not add, delete or reorder columns.</t>
  </si>
  <si>
    <t>5. Read the Option 2 Guide for the column meanings, the charts, GitHub steps and the README.</t>
  </si>
  <si>
    <t>Team information</t>
  </si>
  <si>
    <t>Topic</t>
  </si>
  <si>
    <t>Court</t>
  </si>
  <si>
    <t>Team name</t>
  </si>
  <si>
    <t>GitHub repository link</t>
  </si>
  <si>
    <t>Member 1 · name and section</t>
  </si>
  <si>
    <t>Member 2 · name and section</t>
  </si>
  <si>
    <t>Member 3 · name and section (if any)</t>
  </si>
  <si>
    <t>Member 4 · name and section (if any)</t>
  </si>
  <si>
    <t>Date completed (DD-MM-YYYY)</t>
  </si>
  <si>
    <t>Data · one row per judgment</t>
  </si>
  <si>
    <t>Row 5 is a made-up example. Your judgments start at row 6. Enter 10 to 20 judgments decided between 01-09-2021 and 31-08-2026. See the Option 2 Guide, section 4.</t>
  </si>
  <si>
    <t>#</t>
  </si>
  <si>
    <t>Case name</t>
  </si>
  <si>
    <t>Citation or case number</t>
  </si>
  <si>
    <t>Date of decision (DD-MM-YYYY)</t>
  </si>
  <si>
    <t>Year</t>
  </si>
  <si>
    <t>Bench strength</t>
  </si>
  <si>
    <t>Type of case</t>
  </si>
  <si>
    <t>Who brought the case</t>
  </si>
  <si>
    <t>Outcome</t>
  </si>
  <si>
    <t>Who won</t>
  </si>
  <si>
    <t>Main provision</t>
  </si>
  <si>
    <t>Issue in one line</t>
  </si>
  <si>
    <t>Holding in one line</t>
  </si>
  <si>
    <t>Precedent chiefly relied on</t>
  </si>
  <si>
    <t>Source link (official copy)</t>
  </si>
  <si>
    <t>Coded by</t>
  </si>
  <si>
    <t>EX</t>
  </si>
  <si>
    <t>Example Petitioner v. State of Maharashtra (made-up)</t>
  </si>
  <si>
    <t>2024 INSC 000 (made-up)</t>
  </si>
  <si>
    <t>15-03-2024</t>
  </si>
  <si>
    <t>Criminal appeal</t>
  </si>
  <si>
    <t>Individual</t>
  </si>
  <si>
    <t>Allowed</t>
  </si>
  <si>
    <t>s 438 CrPC</t>
  </si>
  <si>
    <t>Whether anticipatory bail can be limited to a fixed period.</t>
  </si>
  <si>
    <t>Bail granted; protection ordinarily lasts till the end of trial.</t>
  </si>
  <si>
    <t>Sushila Aggarwal v. State (NCT of Delhi)</t>
  </si>
  <si>
    <t>https://www.sci.gov.in/judgements/ (made-up)</t>
  </si>
  <si>
    <t>A. Deshmukh</t>
  </si>
  <si>
    <t>Counts for your charts (these update automatically from the Data sheet)</t>
  </si>
  <si>
    <t>Select a table below, then Insert &gt; Chart in Excel or Google Sheets. Save each chart as PNG.</t>
  </si>
  <si>
    <t>Judgments</t>
  </si>
  <si>
    <t>Dismissed</t>
  </si>
  <si>
    <t>Partly allowed</t>
  </si>
  <si>
    <t>Other</t>
  </si>
  <si>
    <t>Company</t>
  </si>
  <si>
    <t>State or public body</t>
  </si>
  <si>
    <t>Association or NGO</t>
  </si>
  <si>
    <t>Mixed or unclear</t>
  </si>
  <si>
    <t>Writ petition</t>
  </si>
  <si>
    <t>Civil appeal</t>
  </si>
  <si>
    <t>SLP</t>
  </si>
  <si>
    <t>Lists used by the dropdowns (do not edit)</t>
  </si>
  <si>
    <t>2. In the Data sheet, enter one row per judgment starting at row 6. Row 5 is a made-up example showing the format; leave it as it is.</t>
  </si>
  <si>
    <t>4. When done, rename this file data.xlsx. Also save the Data sheet as data.csv (File &gt; Save As &gt; CSV). Upload both to your GitHub repository.</t>
  </si>
  <si>
    <t>Doctrine of promissory estoppel</t>
  </si>
  <si>
    <t>Supreme Court of India</t>
  </si>
  <si>
    <t>The Promise Keepers</t>
  </si>
  <si>
    <t>https://github.com/nehakaranam1234/promissory-estoppel-judgments-</t>
  </si>
  <si>
    <t>Neha Karanam (23010421084), Section B</t>
  </si>
  <si>
    <t>Nabaparna Kumar (23010421097), Section B</t>
  </si>
  <si>
    <t>Ayushi Shahi (23010421077), Section B</t>
  </si>
  <si>
    <t>Shubhra Singh (23010421115), Section B</t>
  </si>
  <si>
    <t>30-10-2026</t>
  </si>
  <si>
    <t>Augustan Textile Colours Ltd. (now Augustan Textile Colours Pvt. Ltd.) v. Director of Industries &amp; Anr.</t>
  </si>
  <si>
    <t>(2022) 6 SCC 626; 2022 INSC 408; Civil Appeal No. 2830 of 2022</t>
  </si>
  <si>
    <t>08-04-2022</t>
  </si>
  <si>
    <t>s 10(1), 10(3) KGST Act 1963; s 19(3) SICA 1985</t>
  </si>
  <si>
    <t>Could a sick unit's tax exemption be withdrawn, or was it protected by promissory estoppel?</t>
  </si>
  <si>
    <t>Dismissed: single-unit exemption was beyond s 10(1); no PE against statute (paras 27 to 31).</t>
  </si>
  <si>
    <t>Motilal Padampat Sugar Mills Co. Ltd. v. State of U.P. (1979) 2 SCC 409 (para 28)</t>
  </si>
  <si>
    <t>https://api.sci.gov.in/supremecourt/2018/26881/26881_2018_10_1501_34827_Judgement_08-Apr-2022.pdf</t>
  </si>
  <si>
    <t>Neha Karanam</t>
  </si>
  <si>
    <t>Chowgule &amp; Company Ltd. v. Assistant Director General of Foreign Trade &amp; Ors.</t>
  </si>
  <si>
    <t>(2023) 1 SCC 320; Civil Appeal No. 8225 of 2009</t>
  </si>
  <si>
    <t>04-11-2022</t>
  </si>
  <si>
    <t>Appendix 12, Exim Policy 1990-93</t>
  </si>
  <si>
    <t>Could an exporter claim an additional licence under the old export policy after the policy changed?</t>
  </si>
  <si>
    <t>Dismissed: incentive is policy the Union can change; no PE, no parity claim (paras 5 to 8).</t>
  </si>
  <si>
    <t>No precedent on promissory estoppel applied by the Court; appellant relied on Motilal Padampat Sugar Mills Co. Ltd. v. State of U.P. (1979) 2 SCC 409</t>
  </si>
  <si>
    <t>https://api.sci.gov.in/supremecourt/2008/22690/22690_2008_6_1505_39466_Judgement_04-Nov-2022.pdf</t>
  </si>
  <si>
    <t>Union of India &amp; Ors. v. A.B.P. Pvt. Ltd. &amp; Anr.</t>
  </si>
  <si>
    <t>(2023) 20 SCC 343; 2023 INSC 525; Civil Appeal No. 986 of 2011</t>
  </si>
  <si>
    <t>12-05-2023</t>
  </si>
  <si>
    <t>s 25(1) Customs Act 1962 (Notifications 86 and 164 of 2003)</t>
  </si>
  <si>
    <t>Could the Union withdraw a 5% customs duty concession after the importer had opened a letter of credit?</t>
  </si>
  <si>
    <t>Allowed: amendment valid; no PE against legislative power or vested right in a concession (paras 26 to 29).</t>
  </si>
  <si>
    <t>Prashanti Medical Services &amp; Research Foundation v. Union of India (2019) 9 SCR 828 (para 26)</t>
  </si>
  <si>
    <t>https://api.sci.gov.in/supremecourt/2009/36138/36138_2009_12_1501_44456_Judgement_12-May-2023.pdf</t>
  </si>
  <si>
    <t>State of Gujarat v. Arcelor Mittal Nippon Steel India Ltd.</t>
  </si>
  <si>
    <t>(2022) 6 SCC 459; Civil Appeal Nos. 7710-7714 of 2021</t>
  </si>
  <si>
    <t>21-01-2022</t>
  </si>
  <si>
    <t>Entry 255(2), Notification of 05-03-1992 (s 49(2) Gujarat Sales Tax Act 1969)</t>
  </si>
  <si>
    <t>Was purchase tax payable after the unit passed gas to a power company, despite promissory estoppel?</t>
  </si>
  <si>
    <t>Allowed: conditions breached; PE cannot alter exemption terms or override statute (paras 19 to 22).</t>
  </si>
  <si>
    <t>Commissioner of Central Excise, Bangalore-I v. Bal Pharma Ltd. (2011) 2 SCC 620 (para 20.3)</t>
  </si>
  <si>
    <t>https://main.sci.gov.in/supremecourt/2016/28652/28652_2016_42_1501_32738_Judgement_21-Jan-2022.pdf</t>
  </si>
  <si>
    <t>Dr. Prakasan M.P. &amp; Ors. v. State of Kerala &amp; Anr.</t>
  </si>
  <si>
    <t>(2024) 20 SCC 694; 2023 INSC 772; Civil Appeal No. 7580 of 2012</t>
  </si>
  <si>
    <t>25-08-2023</t>
  </si>
  <si>
    <t>Rule 60(c) Kerala Service Rules 1958</t>
  </si>
  <si>
    <t>Could teachers who retired earlier claim the later, higher retirement age on legitimate expectation or estoppel?</t>
  </si>
  <si>
    <t>Dismissed: retirement age is policy; no vested right, so PE and legitimate expectation fail (paras 11, 17 to 19).</t>
  </si>
  <si>
    <t>New Okhla Industrial Development Authority v. B.D. Singhal (2021 SCC OnLine SC 466) (paras 12 and 18)</t>
  </si>
  <si>
    <t>https://api.sci.gov.in/supremecourt/2010/38351/38351_2010_14_1501_46433_Judgement_25-Aug-2023.pdf</t>
  </si>
  <si>
    <t>State of Himachal Pradesh v. M/s Kundlas Loh Udyog</t>
  </si>
  <si>
    <t>2026 INSC 534; Civil Appeal arising out of SLP (C) No. 26731 of 2025</t>
  </si>
  <si>
    <t>25-05-2026</t>
  </si>
  <si>
    <t>Clauses 16(a) and 16(b), Himachal Pradesh Industrial Policy 2019</t>
  </si>
  <si>
    <t>Could an expanding existing unit claim the concessional power tariff meant for new units?</t>
  </si>
  <si>
    <t>Allowed: expansion units get only the expansion benefit; PE cannot create an entitlement the policy never gave.</t>
  </si>
  <si>
    <t>IFGL Refractories Ltd. v. Orissa State Financial Corporation, 2026 INSC 18</t>
  </si>
  <si>
    <t>https://api.sci.gov.in/supremecourt/2025/46725/46725_2025_7_1501_71589_Judgement_25-May-2026.pdf</t>
  </si>
  <si>
    <t>Nabaparna Kumar</t>
  </si>
  <si>
    <t>IFGL Refractories Ltd. v. Orissa State Financial Corporation</t>
  </si>
  <si>
    <t>2026 INSC 18; 2026 SCC OnLine SC 28; Civil Appeal No. 66 of 2026</t>
  </si>
  <si>
    <t>06-01-2026</t>
  </si>
  <si>
    <t>Clauses 4.1, 5.1 and 11.4.4, Industrial Policy of Orissa 1989</t>
  </si>
  <si>
    <t>Was IFGL entitled to the sanctioned subsidies for its new plant despite the claimed subsidy limit?</t>
  </si>
  <si>
    <t>Allowed: the new plant qualified as a new unit; sanctioned subsidies payable with 9% interest.</t>
  </si>
  <si>
    <t>Motilal Padampat Sugar Mills Co. Ltd. v. State of U.P. (1979) 2 SCC 409</t>
  </si>
  <si>
    <t>Puja Ferro Alloys Pvt. Ltd. v. State of Goa</t>
  </si>
  <si>
    <t>2025 INSC 217; Civil Appeal Nos. 2027-2028 of 2012</t>
  </si>
  <si>
    <t>14-02-2025</t>
  </si>
  <si>
    <t>Goa (Prohibition of Further Payments and Recovery of Rebate Benefits) Act 2002</t>
  </si>
  <si>
    <t>Could the companies keep the 25% power rebate after the State withdrew it and sought recovery?</t>
  </si>
  <si>
    <t>Dismissed: claim barred by res judicata; promissory estoppel yields to overriding public interest.</t>
  </si>
  <si>
    <t>G.R. Ispat Ltd. v. Chief Electrical Engineer, 1999 (1) Goa L.T.</t>
  </si>
  <si>
    <t>https://api.sci.gov.in/supremecourt/2012/1038/1038_2012_14_1501_59452_Judgement_14-Feb-2025.pdf</t>
  </si>
  <si>
    <t>Satish Chander Sharma &amp; Ors. v. State of Himachal Pradesh &amp; Ors.</t>
  </si>
  <si>
    <t>2025 INSC 491; Writ Petition (Civil) No. 179 of 2018</t>
  </si>
  <si>
    <t>16-04-2025</t>
  </si>
  <si>
    <t>Article 32, Constitution of India; HP Corporate Sector Employees Pension Scheme 1999</t>
  </si>
  <si>
    <t>Could retired corporation employees claim pension under the 1999 Scheme after its 2004 withdrawal?</t>
  </si>
  <si>
    <t>Dismissed: Article 32 cannot reopen a final judgment; no promissory estoppel as PF rights were restored.</t>
  </si>
  <si>
    <t>State of Himachal Pradesh v. Rajesh Chander Sood (2016) 10 SCC 77</t>
  </si>
  <si>
    <t>https://api.sci.gov.in/supremecourt/2018/6546/6546_2018_3_1501_60931_Judgement_16-Apr-2025.pdf</t>
  </si>
  <si>
    <t>M/s Rewa Tollway Pvt. Ltd. v. State of Madhya Pradesh &amp; Ors.</t>
  </si>
  <si>
    <t>2024 INSC 539</t>
  </si>
  <si>
    <t>19-07-2024</t>
  </si>
  <si>
    <t>Proviso (c) to clause (C), Article 33, Schedule 1-A, Indian Stamp Act 1899</t>
  </si>
  <si>
    <t>Could the State charge higher stamp duty under a 2002 amendment despite an earlier Rs 100 stamp-paper assurance?</t>
  </si>
  <si>
    <t>Partly allowed: no promissory estoppel against legislative power; public interest overrides executive assurance.</t>
  </si>
  <si>
    <t>Hero Motocorp Ltd. v. Union of India (2022)</t>
  </si>
  <si>
    <t>https://api.sci.gov.in/supremecourt/2010/14397/14397_2010_7_1501_53819_Judgement_19-Jul-2024.pdf</t>
  </si>
  <si>
    <t>Shubhra Singh</t>
  </si>
  <si>
    <t>Hero Motocorp Ltd. v. Union of India &amp; Ors.</t>
  </si>
  <si>
    <t>2022 INSC 1100</t>
  </si>
  <si>
    <t>17-10-2022</t>
  </si>
  <si>
    <t>Proviso to s 174(2)(c), CGST Act 2017</t>
  </si>
  <si>
    <t>Could the Union be held to its 2003 promise of 10 years' excise exemption after GST replaced the excise regime?</t>
  </si>
  <si>
    <t>Dismissed: no promissory estoppel against legislative power; the GST Act ended the exemption.</t>
  </si>
  <si>
    <t>M. Ramanatha Pillai v. State of Kerala (1973)</t>
  </si>
  <si>
    <t>https://indiankanoon.org/doc/179484826/</t>
  </si>
  <si>
    <t>State of West Bengal &amp; Ors. v. Gitashree Dutta (Dey)</t>
  </si>
  <si>
    <t>(2022) 19 SCC 388; Civil Appeal No. 4254 of 2022</t>
  </si>
  <si>
    <t>20-04-2022</t>
  </si>
  <si>
    <t>s 12, National Food Security Act 2013</t>
  </si>
  <si>
    <t>Could the State cancel declared fair price shop vacancies to implement the Food Security Act?</t>
  </si>
  <si>
    <t>Allowed: no estoppel against a statute; applicant in an unfinalised selection had no vested right (paras 25 to 29).</t>
  </si>
  <si>
    <t>A.P. Dairy Development Corpn. Federation v. B. Narasimha Reddy (2011) 9 SCC 286 (para 27)</t>
  </si>
  <si>
    <t>https://api.sci.gov.in/supremecourt/2019/43716/43716_2019_7_9_35128_Judgement_20-Apr-2022.pdf</t>
  </si>
  <si>
    <t>Yamuna Expressway Industrial Development Authority &amp; Ors. v. Shakuntala Education and Welfare Society &amp; Ors.</t>
  </si>
  <si>
    <t>(2022) 20 SCC 698</t>
  </si>
  <si>
    <t>19-05-2022</t>
  </si>
  <si>
    <t>Articles 14 and 300A, Constitution of India</t>
  </si>
  <si>
    <t>Could allottees hold YEIDA to the premium in their leases against a later policy demanding extra payment?</t>
  </si>
  <si>
    <t>Allowed: no promissory estoppel; policy change in public interest prevails.</t>
  </si>
  <si>
    <t>Kasinka Trading v. Union of India</t>
  </si>
  <si>
    <t>https://indiankanoon.org/doc/45288368/</t>
  </si>
  <si>
    <t>State of Maharashtra &amp; Ors. v. Reliance Industries Ltd. &amp; Ors.</t>
  </si>
  <si>
    <t>2026 INSC 296; Civil Appeal Nos. 3012-3026 of 2010</t>
  </si>
  <si>
    <t>25-03-2026</t>
  </si>
  <si>
    <t>s 5A, Bombay Electricity Duty Act 1958</t>
  </si>
  <si>
    <t>Could the State withdraw a captive-power electricity duty exemption despite promissory estoppel and legitimate expectation?</t>
  </si>
  <si>
    <t>Allowed: power to exempt includes power to withdraw; no vested right; reasonable notice needed.</t>
  </si>
  <si>
    <t>Shrijee Sales Corporation v. Union of India (1997)</t>
  </si>
  <si>
    <t>https://indiankanoon.org/doc/170515926/</t>
  </si>
  <si>
    <t>State of Uttar Pradesh &amp; Ors. v. Principal Abhay Nandan Inter College &amp; Ors.</t>
  </si>
  <si>
    <t>(2021) 15 SCC 600; 2021 INSC 551; Civil Appeal No. 865 of 2021</t>
  </si>
  <si>
    <t>27-09-2021</t>
  </si>
  <si>
    <t>Regulation 101, Intermediate Education Act 1921</t>
  </si>
  <si>
    <t>Could the State require aided colleges to outsource Class IV staff, or was it barred by estoppel?</t>
  </si>
  <si>
    <t>Allowed: aid is not a fundamental right; the State may attach conditions (paras 29 to 30).</t>
  </si>
  <si>
    <t>T.M.A. Pai Foundation v. State of Karnataka (2002) 8 SCC 481</t>
  </si>
  <si>
    <t>https://api.sci.gov.in/supremecourt/2019/18529/18529_2019_36_1502_30326_Judgement_27-Sep-2021.pdf</t>
  </si>
  <si>
    <t>Ayushi Shahi</t>
  </si>
  <si>
    <t>The Vice Chairman &amp; Managing Director, City and Industrial Development Corporation of Maharashtra Ltd. &amp; Anr. v. Shishir Realty Private Limited &amp; Ors.</t>
  </si>
  <si>
    <t>2021 INSC 796; Civil Appeal Nos. 3956-3957 of 2017</t>
  </si>
  <si>
    <t>29-11-2021</t>
  </si>
  <si>
    <t>Article 14, Constitution of India; Maharashtra Regional and Town Planning Act 1966</t>
  </si>
  <si>
    <t>Could CIDCO cancel an allotment and lease deeds without proof of a violation or a pressing public interest?</t>
  </si>
  <si>
    <t>Dismissed: cancellation unjustified; promissory estoppel can bind the State and yields only to proven public interest.</t>
  </si>
  <si>
    <t>https://indiankanoon.org/doc/74190276/</t>
  </si>
  <si>
    <t>Directorate of Film Festivals &amp; Ors. v. Gaurav Ashok Ailani &amp; Ors.</t>
  </si>
  <si>
    <t>(2022) 12 SCC 341</t>
  </si>
  <si>
    <t>15-03-2022</t>
  </si>
  <si>
    <t>Article 14 of Constitution of India / Administrative Eligibility Regulations</t>
  </si>
  <si>
    <t>Whether public authorities are estoppel-bound to retain existing criteria for public benefits and awards without modification.</t>
  </si>
  <si>
    <t>Administrative eligibility criteria can be altered midway for administrative feasibility; no absolute rights exist under promissory estoppel.</t>
  </si>
  <si>
    <t>State of Jharkhand v. Brahmputra Metallics Ltd. (2020)</t>
  </si>
  <si>
    <t>https://indiankanoon.org/doc/1014138</t>
  </si>
  <si>
    <t>State of Punjab &amp; Ors. v. Amrit Vanaspati Co. Ltd.</t>
  </si>
  <si>
    <t>(2022) 7 SCC 592</t>
  </si>
  <si>
    <t>Punjab General Sales Tax Act / Industrial Tax Concession Notification</t>
  </si>
  <si>
    <t>Whether tax exemptions promised via executive press notes can bind the State when the formal statutory notification contains explicit limitations.</t>
  </si>
  <si>
    <t>No promissory estoppel can lie against the State to enforce an executive concession that contradicts or exceeds the boundaries set by the parent statute and formal notification.</t>
  </si>
  <si>
    <t>Kasinka Trading v. Union of India (1995)</t>
  </si>
  <si>
    <t>https://indiankanoon.org/doc/208331/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</si>
</sst>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B2431"/>
      <name val="Arial"/>
      <family val="2"/>
    </font>
    <font>
      <sz val="9"/>
      <name val="Arial"/>
      <family val="2"/>
    </font>
    <font>
      <b/>
      <sz val="12"/>
      <color rgb="FF1B2431"/>
      <name val="Arial"/>
      <family val="2"/>
    </font>
    <font>
      <sz val="10"/>
      <name val="Arial"/>
      <family val="2"/>
    </font>
    <font>
      <b/>
      <sz val="14"/>
      <color rgb="FF1B2431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sz val="9"/>
      <color rgb="FF5A647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B2431"/>
      </patternFill>
    </fill>
    <fill>
      <patternFill patternType="solid">
        <fgColor rgb="FFF2F2F0"/>
      </patternFill>
    </fill>
  </fills>
  <borders count="2">
    <border>
      <left/>
      <right/>
      <top/>
      <bottom/>
      <diagonal/>
    </border>
    <border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2" borderId="1" xfId="0" applyFont="1" applyFill="1" applyBorder="1"/>
    <xf numFmtId="0" fontId="8" fillId="0" borderId="0" xfId="0" applyFont="1"/>
    <xf numFmtId="0" fontId="7" fillId="3" borderId="0" xfId="0" applyFont="1" applyFill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2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7" fillId="3" borderId="0" xfId="0" applyFont="1" applyFill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9"/>
  <sheetViews>
    <sheetView workbookViewId="0">
      <selection activeCell="B21" sqref="B21"/>
    </sheetView>
  </sheetViews>
  <sheetFormatPr defaultColWidth="8.796875" defaultRowHeight="14.25" x14ac:dyDescent="0.45"/>
  <cols>
    <col min="1" max="1" width="3" customWidth="1"/>
    <col min="2" max="2" width="105" customWidth="1"/>
  </cols>
  <sheetData>
    <row r="2" spans="2:2" ht="36" customHeight="1" x14ac:dyDescent="0.45">
      <c r="B2" s="1" t="s">
        <v>0</v>
      </c>
    </row>
    <row r="3" spans="2:2" ht="16.05" customHeight="1" x14ac:dyDescent="0.45">
      <c r="B3" s="2"/>
    </row>
    <row r="4" spans="2:2" ht="18" customHeight="1" x14ac:dyDescent="0.45">
      <c r="B4" s="3" t="s">
        <v>1</v>
      </c>
    </row>
    <row r="5" spans="2:2" ht="16.05" customHeight="1" x14ac:dyDescent="0.45">
      <c r="B5" s="4" t="s">
        <v>2</v>
      </c>
    </row>
    <row r="6" spans="2:2" ht="30" customHeight="1" x14ac:dyDescent="0.45">
      <c r="B6" s="15" t="s">
        <v>60</v>
      </c>
    </row>
    <row r="7" spans="2:2" ht="30" customHeight="1" x14ac:dyDescent="0.45">
      <c r="B7" s="4" t="s">
        <v>3</v>
      </c>
    </row>
    <row r="8" spans="2:2" ht="30" customHeight="1" x14ac:dyDescent="0.45">
      <c r="B8" s="15" t="s">
        <v>61</v>
      </c>
    </row>
    <row r="9" spans="2:2" ht="16.05" customHeight="1" x14ac:dyDescent="0.45">
      <c r="B9" s="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tabSelected="1" workbookViewId="0"/>
  </sheetViews>
  <sheetFormatPr defaultColWidth="8.796875" defaultRowHeight="14.25" x14ac:dyDescent="0.45"/>
  <cols>
    <col min="1" max="1" width="3" customWidth="1"/>
    <col min="2" max="2" width="32" customWidth="1"/>
    <col min="3" max="3" width="50" customWidth="1"/>
  </cols>
  <sheetData>
    <row r="2" spans="2:3" ht="17.649999999999999" x14ac:dyDescent="0.5">
      <c r="B2" s="5" t="s">
        <v>5</v>
      </c>
    </row>
    <row r="4" spans="2:3" x14ac:dyDescent="0.45">
      <c r="B4" s="6" t="s">
        <v>6</v>
      </c>
      <c r="C4" s="7" t="s">
        <v>62</v>
      </c>
    </row>
    <row r="5" spans="2:3" x14ac:dyDescent="0.45">
      <c r="B5" s="6" t="s">
        <v>7</v>
      </c>
      <c r="C5" s="7" t="s">
        <v>63</v>
      </c>
    </row>
    <row r="6" spans="2:3" x14ac:dyDescent="0.45">
      <c r="B6" s="6" t="s">
        <v>8</v>
      </c>
      <c r="C6" s="7" t="s">
        <v>64</v>
      </c>
    </row>
    <row r="7" spans="2:3" x14ac:dyDescent="0.45">
      <c r="B7" s="6" t="s">
        <v>9</v>
      </c>
      <c r="C7" s="7" t="s">
        <v>65</v>
      </c>
    </row>
    <row r="8" spans="2:3" x14ac:dyDescent="0.45">
      <c r="B8" s="6" t="s">
        <v>10</v>
      </c>
      <c r="C8" s="7" t="s">
        <v>66</v>
      </c>
    </row>
    <row r="9" spans="2:3" x14ac:dyDescent="0.45">
      <c r="B9" s="6" t="s">
        <v>11</v>
      </c>
      <c r="C9" s="7" t="s">
        <v>67</v>
      </c>
    </row>
    <row r="10" spans="2:3" x14ac:dyDescent="0.45">
      <c r="B10" s="6" t="s">
        <v>12</v>
      </c>
      <c r="C10" s="7" t="s">
        <v>68</v>
      </c>
    </row>
    <row r="11" spans="2:3" x14ac:dyDescent="0.45">
      <c r="B11" s="6" t="s">
        <v>13</v>
      </c>
      <c r="C11" s="7" t="s">
        <v>69</v>
      </c>
    </row>
    <row r="12" spans="2:3" x14ac:dyDescent="0.45">
      <c r="B12" s="6" t="s">
        <v>14</v>
      </c>
      <c r="C12" s="7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workbookViewId="0">
      <pane xSplit="2" ySplit="4" topLeftCell="D5" activePane="bottomRight" state="frozen"/>
      <selection pane="topRight"/>
      <selection pane="bottomLeft"/>
      <selection pane="bottomRight" activeCell="D7" sqref="D7"/>
    </sheetView>
  </sheetViews>
  <sheetFormatPr defaultColWidth="8.796875" defaultRowHeight="14.25" x14ac:dyDescent="0.45"/>
  <cols>
    <col min="1" max="1" width="4" customWidth="1"/>
    <col min="2" max="2" width="32" customWidth="1"/>
    <col min="3" max="3" width="22" customWidth="1"/>
    <col min="4" max="4" width="14" customWidth="1"/>
    <col min="5" max="5" width="7" customWidth="1"/>
    <col min="6" max="6" width="8" customWidth="1"/>
    <col min="7" max="7" width="16" customWidth="1"/>
    <col min="8" max="8" width="20" customWidth="1"/>
    <col min="9" max="9" width="14" customWidth="1"/>
    <col min="10" max="10" width="20" customWidth="1"/>
    <col min="11" max="11" width="18" customWidth="1"/>
    <col min="12" max="13" width="40" customWidth="1"/>
    <col min="14" max="14" width="28" customWidth="1"/>
    <col min="15" max="15" width="30" customWidth="1"/>
    <col min="16" max="16" width="16" customWidth="1"/>
  </cols>
  <sheetData>
    <row r="1" spans="1:16" ht="17.649999999999999" x14ac:dyDescent="0.5">
      <c r="A1" s="5" t="s">
        <v>15</v>
      </c>
    </row>
    <row r="2" spans="1:16" x14ac:dyDescent="0.45">
      <c r="A2" s="8" t="s">
        <v>16</v>
      </c>
    </row>
    <row r="4" spans="1:16" ht="36" customHeight="1" x14ac:dyDescent="0.45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27</v>
      </c>
      <c r="L4" s="9" t="s">
        <v>28</v>
      </c>
      <c r="M4" s="9" t="s">
        <v>29</v>
      </c>
      <c r="N4" s="9" t="s">
        <v>30</v>
      </c>
      <c r="O4" s="9" t="s">
        <v>31</v>
      </c>
      <c r="P4" s="9" t="s">
        <v>32</v>
      </c>
    </row>
    <row r="5" spans="1:16" ht="45" customHeight="1" x14ac:dyDescent="0.45">
      <c r="A5" s="10" t="s">
        <v>33</v>
      </c>
      <c r="B5" s="10" t="s">
        <v>34</v>
      </c>
      <c r="C5" s="10" t="s">
        <v>35</v>
      </c>
      <c r="D5" s="10" t="s">
        <v>36</v>
      </c>
      <c r="E5" s="10">
        <v>2024</v>
      </c>
      <c r="F5" s="10">
        <v>2</v>
      </c>
      <c r="G5" s="10" t="s">
        <v>37</v>
      </c>
      <c r="H5" s="10" t="s">
        <v>38</v>
      </c>
      <c r="I5" s="10" t="s">
        <v>39</v>
      </c>
      <c r="J5" s="10" t="s">
        <v>38</v>
      </c>
      <c r="K5" s="10" t="s">
        <v>40</v>
      </c>
      <c r="L5" s="10" t="s">
        <v>41</v>
      </c>
      <c r="M5" s="10" t="s">
        <v>42</v>
      </c>
      <c r="N5" s="10" t="s">
        <v>43</v>
      </c>
      <c r="O5" s="10" t="s">
        <v>44</v>
      </c>
      <c r="P5" s="10" t="s">
        <v>45</v>
      </c>
    </row>
    <row r="6" spans="1:16" ht="40.049999999999997" customHeight="1" x14ac:dyDescent="0.45">
      <c r="A6" s="11">
        <v>1</v>
      </c>
      <c r="B6" s="12" t="s">
        <v>71</v>
      </c>
      <c r="C6" s="12" t="s">
        <v>72</v>
      </c>
      <c r="D6" s="12" t="s">
        <v>73</v>
      </c>
      <c r="E6" s="12">
        <v>2022</v>
      </c>
      <c r="F6" s="12">
        <v>2</v>
      </c>
      <c r="G6" s="12" t="s">
        <v>57</v>
      </c>
      <c r="H6" s="12" t="s">
        <v>52</v>
      </c>
      <c r="I6" s="12" t="s">
        <v>49</v>
      </c>
      <c r="J6" s="12" t="s">
        <v>53</v>
      </c>
      <c r="K6" s="12" t="s">
        <v>74</v>
      </c>
      <c r="L6" s="12" t="s">
        <v>75</v>
      </c>
      <c r="M6" s="12" t="s">
        <v>76</v>
      </c>
      <c r="N6" s="12" t="s">
        <v>77</v>
      </c>
      <c r="O6" s="12" t="s">
        <v>78</v>
      </c>
      <c r="P6" s="12" t="s">
        <v>79</v>
      </c>
    </row>
    <row r="7" spans="1:16" ht="40.049999999999997" customHeight="1" x14ac:dyDescent="0.45">
      <c r="A7" s="11">
        <v>2</v>
      </c>
      <c r="B7" s="12" t="s">
        <v>80</v>
      </c>
      <c r="C7" s="12" t="s">
        <v>81</v>
      </c>
      <c r="D7" s="12" t="s">
        <v>82</v>
      </c>
      <c r="E7" s="12">
        <v>2022</v>
      </c>
      <c r="F7" s="12">
        <v>2</v>
      </c>
      <c r="G7" s="12" t="s">
        <v>57</v>
      </c>
      <c r="H7" s="12" t="s">
        <v>52</v>
      </c>
      <c r="I7" s="12" t="s">
        <v>49</v>
      </c>
      <c r="J7" s="12" t="s">
        <v>53</v>
      </c>
      <c r="K7" s="12" t="s">
        <v>83</v>
      </c>
      <c r="L7" s="12" t="s">
        <v>84</v>
      </c>
      <c r="M7" s="12" t="s">
        <v>85</v>
      </c>
      <c r="N7" s="12" t="s">
        <v>86</v>
      </c>
      <c r="O7" s="12" t="s">
        <v>87</v>
      </c>
      <c r="P7" s="12" t="s">
        <v>79</v>
      </c>
    </row>
    <row r="8" spans="1:16" ht="40.049999999999997" customHeight="1" x14ac:dyDescent="0.45">
      <c r="A8" s="11">
        <v>3</v>
      </c>
      <c r="B8" s="12" t="s">
        <v>88</v>
      </c>
      <c r="C8" s="12" t="s">
        <v>89</v>
      </c>
      <c r="D8" s="12" t="s">
        <v>90</v>
      </c>
      <c r="E8" s="12">
        <v>2023</v>
      </c>
      <c r="F8" s="12">
        <v>2</v>
      </c>
      <c r="G8" s="12" t="s">
        <v>57</v>
      </c>
      <c r="H8" s="12" t="s">
        <v>53</v>
      </c>
      <c r="I8" s="12" t="s">
        <v>39</v>
      </c>
      <c r="J8" s="12" t="s">
        <v>53</v>
      </c>
      <c r="K8" s="12" t="s">
        <v>91</v>
      </c>
      <c r="L8" s="12" t="s">
        <v>92</v>
      </c>
      <c r="M8" s="12" t="s">
        <v>93</v>
      </c>
      <c r="N8" s="12" t="s">
        <v>94</v>
      </c>
      <c r="O8" s="12" t="s">
        <v>95</v>
      </c>
      <c r="P8" s="12" t="s">
        <v>79</v>
      </c>
    </row>
    <row r="9" spans="1:16" ht="40.049999999999997" customHeight="1" x14ac:dyDescent="0.45">
      <c r="A9" s="11">
        <v>4</v>
      </c>
      <c r="B9" s="12" t="s">
        <v>96</v>
      </c>
      <c r="C9" s="12" t="s">
        <v>97</v>
      </c>
      <c r="D9" s="12" t="s">
        <v>98</v>
      </c>
      <c r="E9" s="12">
        <v>2022</v>
      </c>
      <c r="F9" s="12">
        <v>2</v>
      </c>
      <c r="G9" s="12" t="s">
        <v>57</v>
      </c>
      <c r="H9" s="12" t="s">
        <v>53</v>
      </c>
      <c r="I9" s="12" t="s">
        <v>39</v>
      </c>
      <c r="J9" s="12" t="s">
        <v>53</v>
      </c>
      <c r="K9" s="12" t="s">
        <v>99</v>
      </c>
      <c r="L9" s="12" t="s">
        <v>100</v>
      </c>
      <c r="M9" s="12" t="s">
        <v>101</v>
      </c>
      <c r="N9" s="12" t="s">
        <v>102</v>
      </c>
      <c r="O9" s="12" t="s">
        <v>103</v>
      </c>
      <c r="P9" s="12" t="s">
        <v>79</v>
      </c>
    </row>
    <row r="10" spans="1:16" ht="40.049999999999997" customHeight="1" x14ac:dyDescent="0.45">
      <c r="A10" s="11">
        <v>5</v>
      </c>
      <c r="B10" s="12" t="s">
        <v>104</v>
      </c>
      <c r="C10" s="12" t="s">
        <v>105</v>
      </c>
      <c r="D10" s="12" t="s">
        <v>106</v>
      </c>
      <c r="E10" s="12">
        <v>2023</v>
      </c>
      <c r="F10" s="12">
        <v>2</v>
      </c>
      <c r="G10" s="12" t="s">
        <v>57</v>
      </c>
      <c r="H10" s="12" t="s">
        <v>38</v>
      </c>
      <c r="I10" s="12" t="s">
        <v>49</v>
      </c>
      <c r="J10" s="12" t="s">
        <v>53</v>
      </c>
      <c r="K10" s="12" t="s">
        <v>107</v>
      </c>
      <c r="L10" s="12" t="s">
        <v>108</v>
      </c>
      <c r="M10" s="12" t="s">
        <v>109</v>
      </c>
      <c r="N10" s="12" t="s">
        <v>110</v>
      </c>
      <c r="O10" s="12" t="s">
        <v>111</v>
      </c>
      <c r="P10" s="12" t="s">
        <v>79</v>
      </c>
    </row>
    <row r="11" spans="1:16" ht="40.049999999999997" customHeight="1" x14ac:dyDescent="0.45">
      <c r="A11" s="11">
        <v>6</v>
      </c>
      <c r="B11" s="12" t="s">
        <v>112</v>
      </c>
      <c r="C11" s="12" t="s">
        <v>113</v>
      </c>
      <c r="D11" s="12" t="s">
        <v>114</v>
      </c>
      <c r="E11" s="12">
        <v>2026</v>
      </c>
      <c r="F11" s="12">
        <v>2</v>
      </c>
      <c r="G11" s="12" t="s">
        <v>57</v>
      </c>
      <c r="H11" s="12" t="s">
        <v>53</v>
      </c>
      <c r="I11" s="12" t="s">
        <v>39</v>
      </c>
      <c r="J11" s="12" t="s">
        <v>53</v>
      </c>
      <c r="K11" s="12" t="s">
        <v>115</v>
      </c>
      <c r="L11" s="12" t="s">
        <v>116</v>
      </c>
      <c r="M11" s="12" t="s">
        <v>117</v>
      </c>
      <c r="N11" s="12" t="s">
        <v>118</v>
      </c>
      <c r="O11" s="12" t="s">
        <v>119</v>
      </c>
      <c r="P11" s="12" t="s">
        <v>120</v>
      </c>
    </row>
    <row r="12" spans="1:16" ht="40.049999999999997" customHeight="1" x14ac:dyDescent="0.45">
      <c r="A12" s="11">
        <v>7</v>
      </c>
      <c r="B12" s="12" t="s">
        <v>121</v>
      </c>
      <c r="C12" s="12" t="s">
        <v>122</v>
      </c>
      <c r="D12" s="12" t="s">
        <v>123</v>
      </c>
      <c r="E12" s="12">
        <v>2026</v>
      </c>
      <c r="F12" s="12">
        <v>2</v>
      </c>
      <c r="G12" s="12" t="s">
        <v>57</v>
      </c>
      <c r="H12" s="12" t="s">
        <v>52</v>
      </c>
      <c r="I12" s="12" t="s">
        <v>39</v>
      </c>
      <c r="J12" s="12" t="s">
        <v>52</v>
      </c>
      <c r="K12" s="12" t="s">
        <v>124</v>
      </c>
      <c r="L12" s="12" t="s">
        <v>125</v>
      </c>
      <c r="M12" s="12" t="s">
        <v>126</v>
      </c>
      <c r="N12" s="12" t="s">
        <v>127</v>
      </c>
      <c r="O12" s="12"/>
      <c r="P12" s="12" t="s">
        <v>120</v>
      </c>
    </row>
    <row r="13" spans="1:16" ht="40.049999999999997" customHeight="1" x14ac:dyDescent="0.45">
      <c r="A13" s="11">
        <v>8</v>
      </c>
      <c r="B13" s="12" t="s">
        <v>128</v>
      </c>
      <c r="C13" s="12" t="s">
        <v>129</v>
      </c>
      <c r="D13" s="12" t="s">
        <v>130</v>
      </c>
      <c r="E13" s="12">
        <v>2025</v>
      </c>
      <c r="F13" s="12"/>
      <c r="G13" s="12" t="s">
        <v>57</v>
      </c>
      <c r="H13" s="12" t="s">
        <v>52</v>
      </c>
      <c r="I13" s="12" t="s">
        <v>49</v>
      </c>
      <c r="J13" s="12" t="s">
        <v>53</v>
      </c>
      <c r="K13" s="12" t="s">
        <v>131</v>
      </c>
      <c r="L13" s="12" t="s">
        <v>132</v>
      </c>
      <c r="M13" s="12" t="s">
        <v>133</v>
      </c>
      <c r="N13" s="12" t="s">
        <v>134</v>
      </c>
      <c r="O13" s="12" t="s">
        <v>135</v>
      </c>
      <c r="P13" s="12" t="s">
        <v>120</v>
      </c>
    </row>
    <row r="14" spans="1:16" ht="40.049999999999997" customHeight="1" x14ac:dyDescent="0.45">
      <c r="A14" s="11">
        <v>9</v>
      </c>
      <c r="B14" s="12" t="s">
        <v>136</v>
      </c>
      <c r="C14" s="12" t="s">
        <v>137</v>
      </c>
      <c r="D14" s="12" t="s">
        <v>138</v>
      </c>
      <c r="E14" s="12">
        <v>2025</v>
      </c>
      <c r="F14" s="12">
        <v>3</v>
      </c>
      <c r="G14" s="12" t="s">
        <v>56</v>
      </c>
      <c r="H14" s="12" t="s">
        <v>38</v>
      </c>
      <c r="I14" s="12" t="s">
        <v>49</v>
      </c>
      <c r="J14" s="12" t="s">
        <v>53</v>
      </c>
      <c r="K14" s="12" t="s">
        <v>139</v>
      </c>
      <c r="L14" s="12" t="s">
        <v>140</v>
      </c>
      <c r="M14" s="12" t="s">
        <v>141</v>
      </c>
      <c r="N14" s="12" t="s">
        <v>142</v>
      </c>
      <c r="O14" s="12" t="s">
        <v>143</v>
      </c>
      <c r="P14" s="12" t="s">
        <v>120</v>
      </c>
    </row>
    <row r="15" spans="1:16" ht="40.049999999999997" customHeight="1" x14ac:dyDescent="0.45">
      <c r="A15" s="11">
        <v>10</v>
      </c>
      <c r="B15" s="12" t="s">
        <v>144</v>
      </c>
      <c r="C15" s="12" t="s">
        <v>145</v>
      </c>
      <c r="D15" s="12" t="s">
        <v>146</v>
      </c>
      <c r="E15" s="12">
        <v>2024</v>
      </c>
      <c r="F15" s="12">
        <v>2</v>
      </c>
      <c r="G15" s="12" t="s">
        <v>57</v>
      </c>
      <c r="H15" s="12" t="s">
        <v>52</v>
      </c>
      <c r="I15" s="12" t="s">
        <v>50</v>
      </c>
      <c r="J15" s="12" t="s">
        <v>55</v>
      </c>
      <c r="K15" s="12" t="s">
        <v>147</v>
      </c>
      <c r="L15" s="12" t="s">
        <v>148</v>
      </c>
      <c r="M15" s="12" t="s">
        <v>149</v>
      </c>
      <c r="N15" s="12" t="s">
        <v>150</v>
      </c>
      <c r="O15" s="12" t="s">
        <v>151</v>
      </c>
      <c r="P15" s="12" t="s">
        <v>152</v>
      </c>
    </row>
    <row r="16" spans="1:16" ht="40.049999999999997" customHeight="1" x14ac:dyDescent="0.45">
      <c r="A16" s="11">
        <v>11</v>
      </c>
      <c r="B16" s="12" t="s">
        <v>153</v>
      </c>
      <c r="C16" s="12" t="s">
        <v>154</v>
      </c>
      <c r="D16" s="12" t="s">
        <v>155</v>
      </c>
      <c r="E16" s="12">
        <v>2022</v>
      </c>
      <c r="F16" s="12">
        <v>2</v>
      </c>
      <c r="G16" s="12" t="s">
        <v>57</v>
      </c>
      <c r="H16" s="12" t="s">
        <v>52</v>
      </c>
      <c r="I16" s="12" t="s">
        <v>49</v>
      </c>
      <c r="J16" s="12" t="s">
        <v>53</v>
      </c>
      <c r="K16" s="12" t="s">
        <v>156</v>
      </c>
      <c r="L16" s="12" t="s">
        <v>157</v>
      </c>
      <c r="M16" s="12" t="s">
        <v>158</v>
      </c>
      <c r="N16" s="12" t="s">
        <v>159</v>
      </c>
      <c r="O16" s="12" t="s">
        <v>160</v>
      </c>
      <c r="P16" s="12" t="s">
        <v>152</v>
      </c>
    </row>
    <row r="17" spans="1:16" ht="40.049999999999997" customHeight="1" x14ac:dyDescent="0.45">
      <c r="A17" s="11">
        <v>12</v>
      </c>
      <c r="B17" s="12" t="s">
        <v>161</v>
      </c>
      <c r="C17" s="12" t="s">
        <v>162</v>
      </c>
      <c r="D17" s="12" t="s">
        <v>163</v>
      </c>
      <c r="E17" s="12">
        <v>2022</v>
      </c>
      <c r="F17" s="12">
        <v>2</v>
      </c>
      <c r="G17" s="12" t="s">
        <v>57</v>
      </c>
      <c r="H17" s="12" t="s">
        <v>53</v>
      </c>
      <c r="I17" s="12" t="s">
        <v>39</v>
      </c>
      <c r="J17" s="12" t="s">
        <v>53</v>
      </c>
      <c r="K17" s="12" t="s">
        <v>164</v>
      </c>
      <c r="L17" s="12" t="s">
        <v>165</v>
      </c>
      <c r="M17" s="12" t="s">
        <v>166</v>
      </c>
      <c r="N17" s="12" t="s">
        <v>167</v>
      </c>
      <c r="O17" s="12" t="s">
        <v>168</v>
      </c>
      <c r="P17" s="12" t="s">
        <v>152</v>
      </c>
    </row>
    <row r="18" spans="1:16" ht="40.049999999999997" customHeight="1" x14ac:dyDescent="0.45">
      <c r="A18" s="11">
        <v>13</v>
      </c>
      <c r="B18" s="12" t="s">
        <v>169</v>
      </c>
      <c r="C18" s="12" t="s">
        <v>170</v>
      </c>
      <c r="D18" s="12" t="s">
        <v>171</v>
      </c>
      <c r="E18" s="12">
        <v>2022</v>
      </c>
      <c r="F18" s="12">
        <v>2</v>
      </c>
      <c r="G18" s="12" t="s">
        <v>57</v>
      </c>
      <c r="H18" s="12" t="s">
        <v>53</v>
      </c>
      <c r="I18" s="12" t="s">
        <v>39</v>
      </c>
      <c r="J18" s="12" t="s">
        <v>53</v>
      </c>
      <c r="K18" s="12" t="s">
        <v>172</v>
      </c>
      <c r="L18" s="12" t="s">
        <v>173</v>
      </c>
      <c r="M18" s="12" t="s">
        <v>174</v>
      </c>
      <c r="N18" s="12" t="s">
        <v>175</v>
      </c>
      <c r="O18" s="12" t="s">
        <v>176</v>
      </c>
      <c r="P18" s="12" t="s">
        <v>152</v>
      </c>
    </row>
    <row r="19" spans="1:16" ht="40.049999999999997" customHeight="1" x14ac:dyDescent="0.45">
      <c r="A19" s="11">
        <v>14</v>
      </c>
      <c r="B19" s="12" t="s">
        <v>177</v>
      </c>
      <c r="C19" s="12" t="s">
        <v>178</v>
      </c>
      <c r="D19" s="12" t="s">
        <v>179</v>
      </c>
      <c r="E19" s="12">
        <v>2026</v>
      </c>
      <c r="F19" s="12">
        <v>2</v>
      </c>
      <c r="G19" s="12" t="s">
        <v>57</v>
      </c>
      <c r="H19" s="12" t="s">
        <v>53</v>
      </c>
      <c r="I19" s="12" t="s">
        <v>39</v>
      </c>
      <c r="J19" s="12" t="s">
        <v>53</v>
      </c>
      <c r="K19" s="12" t="s">
        <v>180</v>
      </c>
      <c r="L19" s="12" t="s">
        <v>181</v>
      </c>
      <c r="M19" s="12" t="s">
        <v>182</v>
      </c>
      <c r="N19" s="12" t="s">
        <v>183</v>
      </c>
      <c r="O19" s="12" t="s">
        <v>184</v>
      </c>
      <c r="P19" s="12" t="s">
        <v>152</v>
      </c>
    </row>
    <row r="20" spans="1:16" ht="40.049999999999997" customHeight="1" x14ac:dyDescent="0.45">
      <c r="A20" s="11">
        <v>15</v>
      </c>
      <c r="B20" s="12" t="s">
        <v>185</v>
      </c>
      <c r="C20" s="12" t="s">
        <v>186</v>
      </c>
      <c r="D20" s="12" t="s">
        <v>187</v>
      </c>
      <c r="E20" s="12">
        <v>2021</v>
      </c>
      <c r="F20" s="12">
        <v>2</v>
      </c>
      <c r="G20" s="12" t="s">
        <v>57</v>
      </c>
      <c r="H20" s="12" t="s">
        <v>53</v>
      </c>
      <c r="I20" s="12" t="s">
        <v>39</v>
      </c>
      <c r="J20" s="12" t="s">
        <v>53</v>
      </c>
      <c r="K20" s="12" t="s">
        <v>188</v>
      </c>
      <c r="L20" s="12" t="s">
        <v>189</v>
      </c>
      <c r="M20" s="12" t="s">
        <v>190</v>
      </c>
      <c r="N20" s="12" t="s">
        <v>191</v>
      </c>
      <c r="O20" s="12" t="s">
        <v>192</v>
      </c>
      <c r="P20" s="12" t="s">
        <v>193</v>
      </c>
    </row>
    <row r="21" spans="1:16" ht="40.049999999999997" customHeight="1" x14ac:dyDescent="0.45">
      <c r="A21" s="11">
        <v>16</v>
      </c>
      <c r="B21" s="12" t="s">
        <v>194</v>
      </c>
      <c r="C21" s="12" t="s">
        <v>195</v>
      </c>
      <c r="D21" s="12" t="s">
        <v>196</v>
      </c>
      <c r="E21" s="12">
        <v>2021</v>
      </c>
      <c r="F21" s="12">
        <v>3</v>
      </c>
      <c r="G21" s="12" t="s">
        <v>57</v>
      </c>
      <c r="H21" s="12" t="s">
        <v>53</v>
      </c>
      <c r="I21" s="12" t="s">
        <v>49</v>
      </c>
      <c r="J21" s="12" t="s">
        <v>52</v>
      </c>
      <c r="K21" s="12" t="s">
        <v>197</v>
      </c>
      <c r="L21" s="12" t="s">
        <v>198</v>
      </c>
      <c r="M21" s="12" t="s">
        <v>199</v>
      </c>
      <c r="N21" s="12" t="s">
        <v>127</v>
      </c>
      <c r="O21" s="12" t="s">
        <v>200</v>
      </c>
      <c r="P21" s="12" t="s">
        <v>193</v>
      </c>
    </row>
    <row r="22" spans="1:16" ht="40.049999999999997" customHeight="1" x14ac:dyDescent="0.45">
      <c r="A22" s="11">
        <v>17</v>
      </c>
      <c r="B22" s="12" t="s">
        <v>201</v>
      </c>
      <c r="C22" s="12" t="s">
        <v>202</v>
      </c>
      <c r="D22" s="12" t="s">
        <v>203</v>
      </c>
      <c r="E22" s="12">
        <v>2022</v>
      </c>
      <c r="F22" s="12">
        <v>2</v>
      </c>
      <c r="G22" s="12" t="s">
        <v>57</v>
      </c>
      <c r="H22" s="12" t="s">
        <v>53</v>
      </c>
      <c r="I22" s="12" t="s">
        <v>39</v>
      </c>
      <c r="J22" s="12" t="s">
        <v>53</v>
      </c>
      <c r="K22" s="12" t="s">
        <v>204</v>
      </c>
      <c r="L22" s="12" t="s">
        <v>205</v>
      </c>
      <c r="M22" s="12" t="s">
        <v>206</v>
      </c>
      <c r="N22" s="12" t="s">
        <v>207</v>
      </c>
      <c r="O22" s="12" t="s">
        <v>208</v>
      </c>
      <c r="P22" s="12" t="s">
        <v>193</v>
      </c>
    </row>
    <row r="23" spans="1:16" ht="40.049999999999997" customHeight="1" x14ac:dyDescent="0.45">
      <c r="A23" s="11">
        <v>18</v>
      </c>
      <c r="B23" s="12" t="s">
        <v>209</v>
      </c>
      <c r="C23" s="12" t="s">
        <v>210</v>
      </c>
      <c r="D23" s="12" t="s">
        <v>171</v>
      </c>
      <c r="E23" s="12">
        <v>2022</v>
      </c>
      <c r="F23" s="12">
        <v>2</v>
      </c>
      <c r="G23" s="12" t="s">
        <v>57</v>
      </c>
      <c r="H23" s="12" t="s">
        <v>53</v>
      </c>
      <c r="I23" s="12" t="s">
        <v>39</v>
      </c>
      <c r="J23" s="12" t="s">
        <v>53</v>
      </c>
      <c r="K23" s="12" t="s">
        <v>211</v>
      </c>
      <c r="L23" s="12" t="s">
        <v>212</v>
      </c>
      <c r="M23" s="12" t="s">
        <v>213</v>
      </c>
      <c r="N23" s="12" t="s">
        <v>214</v>
      </c>
      <c r="O23" s="12" t="s">
        <v>215</v>
      </c>
      <c r="P23" s="12" t="s">
        <v>193</v>
      </c>
    </row>
    <row r="24" spans="1:16" ht="40.049999999999997" customHeight="1" x14ac:dyDescent="0.45">
      <c r="A24" s="11">
        <v>19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40.049999999999997" customHeight="1" x14ac:dyDescent="0.45">
      <c r="A25" s="11">
        <v>20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</sheetData>
  <dataValidations count="1">
    <dataValidation type="whole" showErrorMessage="1" errorTitle="Year" error="Enter a year between 2021 and 2026 as a number." sqref="E6:E25" xr:uid="{00000000-0002-0000-0200-000004000000}">
      <formula1>2021</formula1>
      <formula2>2026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Pick from the list" error="Choose one of the listed values (see Vocabularies sheet)." xr:uid="{00000000-0002-0000-0200-000000000000}">
          <x14:formula1>
            <xm:f>Vocabularies!$A$3:$A$7</xm:f>
          </x14:formula1>
          <xm:sqref>G6:G25</xm:sqref>
        </x14:dataValidation>
        <x14:dataValidation type="list" allowBlank="1" showErrorMessage="1" errorTitle="Pick from the list" error="Choose one of the listed values (see Vocabularies sheet)." xr:uid="{00000000-0002-0000-0200-000001000000}">
          <x14:formula1>
            <xm:f>Vocabularies!$B$3:$B$7</xm:f>
          </x14:formula1>
          <xm:sqref>H6:H25</xm:sqref>
        </x14:dataValidation>
        <x14:dataValidation type="list" allowBlank="1" showErrorMessage="1" errorTitle="Pick from the list" error="Choose one of the listed values (see Vocabularies sheet)." xr:uid="{00000000-0002-0000-0200-000002000000}">
          <x14:formula1>
            <xm:f>Vocabularies!$C$3:$C$6</xm:f>
          </x14:formula1>
          <xm:sqref>I6:I25</xm:sqref>
        </x14:dataValidation>
        <x14:dataValidation type="list" allowBlank="1" showErrorMessage="1" errorTitle="Pick from the list" error="Choose one of the listed values (see Vocabularies sheet)." xr:uid="{00000000-0002-0000-0200-000003000000}">
          <x14:formula1>
            <xm:f>Vocabularies!$D$3:$D$7</xm:f>
          </x14:formula1>
          <xm:sqref>J6:J25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workbookViewId="0">
      <selection activeCell="B26" sqref="B26"/>
    </sheetView>
  </sheetViews>
  <sheetFormatPr defaultColWidth="8.796875" defaultRowHeight="14.25" x14ac:dyDescent="0.45"/>
  <cols>
    <col min="1" max="1" width="26" customWidth="1"/>
    <col min="2" max="2" width="12" customWidth="1"/>
  </cols>
  <sheetData>
    <row r="1" spans="1:2" ht="15.4" x14ac:dyDescent="0.45">
      <c r="A1" s="13" t="s">
        <v>46</v>
      </c>
    </row>
    <row r="2" spans="1:2" x14ac:dyDescent="0.45">
      <c r="A2" s="8" t="s">
        <v>47</v>
      </c>
    </row>
    <row r="4" spans="1:2" x14ac:dyDescent="0.45">
      <c r="A4" s="14" t="s">
        <v>21</v>
      </c>
      <c r="B4" s="14" t="s">
        <v>48</v>
      </c>
    </row>
    <row r="5" spans="1:2" x14ac:dyDescent="0.45">
      <c r="A5" s="11">
        <v>2021</v>
      </c>
      <c r="B5" s="11">
        <f>COUNTIF(Data!E$6:E$25,A5)</f>
        <v>2</v>
      </c>
    </row>
    <row r="6" spans="1:2" x14ac:dyDescent="0.45">
      <c r="A6" s="11">
        <v>2022</v>
      </c>
      <c r="B6" s="11">
        <f>COUNTIF(Data!E$6:E$25,A6)</f>
        <v>8</v>
      </c>
    </row>
    <row r="7" spans="1:2" x14ac:dyDescent="0.45">
      <c r="A7" s="11">
        <v>2023</v>
      </c>
      <c r="B7" s="11">
        <f>COUNTIF(Data!E$6:E$25,A7)</f>
        <v>2</v>
      </c>
    </row>
    <row r="8" spans="1:2" x14ac:dyDescent="0.45">
      <c r="A8" s="11">
        <v>2024</v>
      </c>
      <c r="B8" s="11">
        <f>COUNTIF(Data!E$6:E$25,A8)</f>
        <v>1</v>
      </c>
    </row>
    <row r="9" spans="1:2" x14ac:dyDescent="0.45">
      <c r="A9" s="11">
        <v>2025</v>
      </c>
      <c r="B9" s="11">
        <f>COUNTIF(Data!E$6:E$25,A9)</f>
        <v>2</v>
      </c>
    </row>
    <row r="10" spans="1:2" x14ac:dyDescent="0.45">
      <c r="A10" s="11">
        <v>2026</v>
      </c>
      <c r="B10" s="11">
        <f>COUNTIF(Data!E$6:E$25,A10)</f>
        <v>3</v>
      </c>
    </row>
    <row r="12" spans="1:2" x14ac:dyDescent="0.45">
      <c r="A12" s="14" t="s">
        <v>25</v>
      </c>
      <c r="B12" s="14" t="s">
        <v>48</v>
      </c>
    </row>
    <row r="13" spans="1:2" x14ac:dyDescent="0.45">
      <c r="A13" s="11" t="s">
        <v>39</v>
      </c>
      <c r="B13" s="11">
        <f>COUNTIF(Data!I$6:I$25,A13)</f>
        <v>10</v>
      </c>
    </row>
    <row r="14" spans="1:2" x14ac:dyDescent="0.45">
      <c r="A14" s="11" t="s">
        <v>49</v>
      </c>
      <c r="B14" s="11">
        <f>COUNTIF(Data!I$6:I$25,A14)</f>
        <v>7</v>
      </c>
    </row>
    <row r="15" spans="1:2" x14ac:dyDescent="0.45">
      <c r="A15" s="11" t="s">
        <v>50</v>
      </c>
      <c r="B15" s="11">
        <f>COUNTIF(Data!I$6:I$25,A15)</f>
        <v>1</v>
      </c>
    </row>
    <row r="16" spans="1:2" x14ac:dyDescent="0.45">
      <c r="A16" s="11" t="s">
        <v>51</v>
      </c>
      <c r="B16" s="11">
        <f>COUNTIF(Data!I$6:I$25,A16)</f>
        <v>0</v>
      </c>
    </row>
    <row r="18" spans="1:2" x14ac:dyDescent="0.45">
      <c r="A18" s="14" t="s">
        <v>24</v>
      </c>
      <c r="B18" s="14" t="s">
        <v>48</v>
      </c>
    </row>
    <row r="19" spans="1:2" x14ac:dyDescent="0.45">
      <c r="A19" s="11" t="s">
        <v>38</v>
      </c>
      <c r="B19" s="11">
        <f>COUNTIF(Data!H$6:H$25,A19)</f>
        <v>2</v>
      </c>
    </row>
    <row r="20" spans="1:2" x14ac:dyDescent="0.45">
      <c r="A20" s="11" t="s">
        <v>52</v>
      </c>
      <c r="B20" s="11">
        <f>COUNTIF(Data!H$6:H$25,A20)</f>
        <v>6</v>
      </c>
    </row>
    <row r="21" spans="1:2" x14ac:dyDescent="0.45">
      <c r="A21" s="11" t="s">
        <v>53</v>
      </c>
      <c r="B21" s="11">
        <f>COUNTIF(Data!H$6:H$25,A21)</f>
        <v>10</v>
      </c>
    </row>
    <row r="22" spans="1:2" x14ac:dyDescent="0.45">
      <c r="A22" s="11" t="s">
        <v>54</v>
      </c>
      <c r="B22" s="11">
        <f>COUNTIF(Data!H$6:H$25,A22)</f>
        <v>0</v>
      </c>
    </row>
    <row r="23" spans="1:2" x14ac:dyDescent="0.45">
      <c r="A23" s="11" t="s">
        <v>51</v>
      </c>
      <c r="B23" s="11">
        <f>COUNTIF(Data!H$6:H$25,A23)</f>
        <v>0</v>
      </c>
    </row>
    <row r="25" spans="1:2" x14ac:dyDescent="0.45">
      <c r="A25" s="14" t="s">
        <v>26</v>
      </c>
      <c r="B25" s="14" t="s">
        <v>48</v>
      </c>
    </row>
    <row r="26" spans="1:2" x14ac:dyDescent="0.45">
      <c r="A26" s="11" t="s">
        <v>38</v>
      </c>
      <c r="B26" s="11">
        <f>COUNTIF(Data!J$6:J$25,A26)</f>
        <v>0</v>
      </c>
    </row>
    <row r="27" spans="1:2" x14ac:dyDescent="0.45">
      <c r="A27" s="11" t="s">
        <v>52</v>
      </c>
      <c r="B27" s="11">
        <f>COUNTIF(Data!J$6:J$25,A27)</f>
        <v>2</v>
      </c>
    </row>
    <row r="28" spans="1:2" x14ac:dyDescent="0.45">
      <c r="A28" s="11" t="s">
        <v>53</v>
      </c>
      <c r="B28" s="11">
        <f>COUNTIF(Data!J$6:J$25,A28)</f>
        <v>15</v>
      </c>
    </row>
    <row r="29" spans="1:2" x14ac:dyDescent="0.45">
      <c r="A29" s="11" t="s">
        <v>54</v>
      </c>
      <c r="B29" s="11">
        <f>COUNTIF(Data!J$6:J$25,A29)</f>
        <v>0</v>
      </c>
    </row>
    <row r="30" spans="1:2" x14ac:dyDescent="0.45">
      <c r="A30" s="11" t="s">
        <v>55</v>
      </c>
      <c r="B30" s="11">
        <f>COUNTIF(Data!J$6:J$25,A30)</f>
        <v>1</v>
      </c>
    </row>
    <row r="32" spans="1:2" x14ac:dyDescent="0.45">
      <c r="A32" s="14" t="s">
        <v>23</v>
      </c>
      <c r="B32" s="14" t="s">
        <v>48</v>
      </c>
    </row>
    <row r="33" spans="1:2" x14ac:dyDescent="0.45">
      <c r="A33" s="11" t="s">
        <v>56</v>
      </c>
      <c r="B33" s="11">
        <f>COUNTIF(Data!G$6:G$25,A33)</f>
        <v>1</v>
      </c>
    </row>
    <row r="34" spans="1:2" x14ac:dyDescent="0.45">
      <c r="A34" s="11" t="s">
        <v>57</v>
      </c>
      <c r="B34" s="11">
        <f>COUNTIF(Data!G$6:G$25,A34)</f>
        <v>17</v>
      </c>
    </row>
    <row r="35" spans="1:2" x14ac:dyDescent="0.45">
      <c r="A35" s="11" t="s">
        <v>37</v>
      </c>
      <c r="B35" s="11">
        <f>COUNTIF(Data!G$6:G$25,A35)</f>
        <v>0</v>
      </c>
    </row>
    <row r="36" spans="1:2" x14ac:dyDescent="0.45">
      <c r="A36" s="11" t="s">
        <v>58</v>
      </c>
      <c r="B36" s="11">
        <f>COUNTIF(Data!G$6:G$25,A36)</f>
        <v>0</v>
      </c>
    </row>
    <row r="37" spans="1:2" x14ac:dyDescent="0.45">
      <c r="A37" s="11" t="s">
        <v>51</v>
      </c>
      <c r="B37" s="11">
        <f>COUNTIF(Data!G$6:G$25,A37)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ColWidth="8.796875" defaultRowHeight="14.25" x14ac:dyDescent="0.45"/>
  <cols>
    <col min="1" max="4" width="26" customWidth="1"/>
  </cols>
  <sheetData>
    <row r="1" spans="1:4" ht="15.4" x14ac:dyDescent="0.45">
      <c r="A1" s="13" t="s">
        <v>59</v>
      </c>
    </row>
    <row r="2" spans="1:4" x14ac:dyDescent="0.45">
      <c r="A2" s="14" t="s">
        <v>23</v>
      </c>
      <c r="B2" s="14" t="s">
        <v>24</v>
      </c>
      <c r="C2" s="14" t="s">
        <v>25</v>
      </c>
      <c r="D2" s="14" t="s">
        <v>26</v>
      </c>
    </row>
    <row r="3" spans="1:4" x14ac:dyDescent="0.45">
      <c r="A3" s="11" t="s">
        <v>56</v>
      </c>
      <c r="B3" s="11" t="s">
        <v>38</v>
      </c>
      <c r="C3" s="11" t="s">
        <v>39</v>
      </c>
      <c r="D3" s="11" t="s">
        <v>38</v>
      </c>
    </row>
    <row r="4" spans="1:4" x14ac:dyDescent="0.45">
      <c r="A4" s="11" t="s">
        <v>57</v>
      </c>
      <c r="B4" s="11" t="s">
        <v>52</v>
      </c>
      <c r="C4" s="11" t="s">
        <v>49</v>
      </c>
      <c r="D4" s="11" t="s">
        <v>52</v>
      </c>
    </row>
    <row r="5" spans="1:4" x14ac:dyDescent="0.45">
      <c r="A5" s="11" t="s">
        <v>37</v>
      </c>
      <c r="B5" s="11" t="s">
        <v>53</v>
      </c>
      <c r="C5" s="11" t="s">
        <v>50</v>
      </c>
      <c r="D5" s="11" t="s">
        <v>53</v>
      </c>
    </row>
    <row r="6" spans="1:4" x14ac:dyDescent="0.45">
      <c r="A6" s="11" t="s">
        <v>58</v>
      </c>
      <c r="B6" s="11" t="s">
        <v>54</v>
      </c>
      <c r="C6" s="11" t="s">
        <v>51</v>
      </c>
      <c r="D6" s="11" t="s">
        <v>54</v>
      </c>
    </row>
    <row r="7" spans="1:4" x14ac:dyDescent="0.45">
      <c r="A7" s="11" t="s">
        <v>51</v>
      </c>
      <c r="B7" s="11" t="s">
        <v>51</v>
      </c>
      <c r="D7" s="1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Team</vt:lpstr>
      <vt:lpstr>Data</vt:lpstr>
      <vt:lpstr>Chart counts</vt:lpstr>
      <vt:lpstr>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karanam</cp:lastModifiedBy>
  <dcterms:created xsi:type="dcterms:W3CDTF">2026-09-16T11:13:46Z</dcterms:created>
  <dcterms:modified xsi:type="dcterms:W3CDTF">2026-10-30T10:19:58Z</dcterms:modified>
</cp:coreProperties>
</file>